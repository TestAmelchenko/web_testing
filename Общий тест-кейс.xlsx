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70" windowWidth="37095" windowHeight="17565"/>
  </bookViews>
  <sheets>
    <sheet name="Project_Проект intern.demoshopp" sheetId="1" r:id="rId1"/>
  </sheets>
  <calcPr calcId="144525"/>
</workbook>
</file>

<file path=xl/calcChain.xml><?xml version="1.0" encoding="utf-8"?>
<calcChain xmlns="http://schemas.openxmlformats.org/spreadsheetml/2006/main">
  <c r="C2" i="1" l="1"/>
  <c r="C8" i="1"/>
  <c r="C14" i="1"/>
  <c r="C20" i="1"/>
  <c r="C26" i="1"/>
  <c r="C29" i="1"/>
  <c r="C35" i="1"/>
  <c r="C39" i="1"/>
  <c r="C44" i="1"/>
  <c r="C50" i="1"/>
</calcChain>
</file>

<file path=xl/sharedStrings.xml><?xml version="1.0" encoding="utf-8"?>
<sst xmlns="http://schemas.openxmlformats.org/spreadsheetml/2006/main" count="925" uniqueCount="98">
  <si>
    <t>ID</t>
  </si>
  <si>
    <t>Расположение</t>
  </si>
  <si>
    <t>Наименование</t>
  </si>
  <si>
    <t>Автоматизирован</t>
  </si>
  <si>
    <t>Предусловия</t>
  </si>
  <si>
    <t>Шаги</t>
  </si>
  <si>
    <t>Постусловия</t>
  </si>
  <si>
    <t>Ожидаемый результат</t>
  </si>
  <si>
    <t>Тестовые данные</t>
  </si>
  <si>
    <t>Комментарии</t>
  </si>
  <si>
    <t>Итерации</t>
  </si>
  <si>
    <t>Приоритет</t>
  </si>
  <si>
    <t>Статус</t>
  </si>
  <si>
    <t>Дата создания</t>
  </si>
  <si>
    <t>Автор</t>
  </si>
  <si>
    <t>Длительность</t>
  </si>
  <si>
    <t>Тег</t>
  </si>
  <si>
    <t>3</t>
  </si>
  <si>
    <t>Проект intern.demoshopping.ru/</t>
  </si>
  <si>
    <t>Нет</t>
  </si>
  <si>
    <t/>
  </si>
  <si>
    <t>Средний</t>
  </si>
  <si>
    <t>Готов</t>
  </si>
  <si>
    <t>3/14/2026 22:34:25</t>
  </si>
  <si>
    <t>Анатолий Амельченко</t>
  </si>
  <si>
    <t>0h 10m 0s</t>
  </si>
  <si>
    <t>Пользователь не зарегистрирован в системе</t>
  </si>
  <si>
    <t>Перейти по ссылке https://intern.demoshopping.ru/login</t>
  </si>
  <si>
    <t>Отображается форма “Входа” и форма “Регистрации”</t>
  </si>
  <si>
    <t>Ввести в поле “Логин” формы “Регистрация”  валидные данные</t>
  </si>
  <si>
    <t>Введённые данные отображаются в поле “Логин”</t>
  </si>
  <si>
    <t>Ввести в поле  “Пароль” формы “Регистрация” валидные данные</t>
  </si>
  <si>
    <t>Введённые данные отображаются в поле “Пароль”</t>
  </si>
  <si>
    <t>Нажать кнопку “Зарегистрироваться”</t>
  </si>
  <si>
    <t>Кнопка “Войти” заменяется на кнопку “Выйти”. 
Пользователь успешно зарегистрирован.</t>
  </si>
  <si>
    <t>4</t>
  </si>
  <si>
    <t>Невалидные данные: Пустая строка;
Невалидные данные: Только буквенные значения;
Невалидные данные: Только числовые значения;</t>
  </si>
  <si>
    <t>3/16/2026 09:07:05</t>
  </si>
  <si>
    <t>Ввести в поле “Логин” формы “Регистрация” %Невалидные данные</t>
  </si>
  <si>
    <t>Ввести в поле “Пароль” формы “Регистрация” валидные данные</t>
  </si>
  <si>
    <t>Вывод сообщения: “Логин должен содержать от 3 до 15 символов и может включать буквы, цифры и символы: _. Пароль должен содержать не менее 8 символов, включая минимум одну букву и одну цифру”.
Регистрация не выполнена.</t>
  </si>
  <si>
    <t>5</t>
  </si>
  <si>
    <t>Не готов</t>
  </si>
  <si>
    <t>3/16/2026 09:26:46</t>
  </si>
  <si>
    <t>Ввести в поле “Логин” формы “Регистрация” валидные данные</t>
  </si>
  <si>
    <t>Ввести в поле “Пароль” формы “Регистрация” %Невалидные данные</t>
  </si>
  <si>
    <t>6</t>
  </si>
  <si>
    <t>3/17/2026 07:59:48</t>
  </si>
  <si>
    <t>Пользователь должен быть зарегистрирован в системе</t>
  </si>
  <si>
    <t>Ввести в поле “Login” формы “Вход” данные указанные при регистрации</t>
  </si>
  <si>
    <t>Введённые данные отображаются в поле “Login”</t>
  </si>
  <si>
    <t>Ввести в поле “Password” формы “Вход” данные указанные при регистрации</t>
  </si>
  <si>
    <t>Введённые данные отображаются в поле “Password”</t>
  </si>
  <si>
    <t>Нажать кнопку “Войти”</t>
  </si>
  <si>
    <t>Переход на главную страницу. Вход выполнен успешно.</t>
  </si>
  <si>
    <t>7</t>
  </si>
  <si>
    <t>3/17/2026 08:30:14</t>
  </si>
  <si>
    <t>Пользователь находится на странице https://intern.demoshopping.ru и авторизован в системе.</t>
  </si>
  <si>
    <t>Нажать кнопку “Выход”</t>
  </si>
  <si>
    <t>Система возвращается к неавторизованному виду, и пользователь перенаправляется на страницу входа или главную страницу. Выход успешно завершен.</t>
  </si>
  <si>
    <t>8</t>
  </si>
  <si>
    <t>3/17/2026 09:01:18</t>
  </si>
  <si>
    <t>Пользователь не авторизован в системе</t>
  </si>
  <si>
    <t>Невозможность проверить функциональность форм “Корзина”, “Оплата”, “История заказов” т.к. вход в систему не выполнен</t>
  </si>
  <si>
    <t>Перейти по ссылке https://intern.demoshopping.ru</t>
  </si>
  <si>
    <t>Отображается страница с кнопками “Каталог”, “О компании”, “Контакты”, “Корзина”, “Оплата”, “История заказов”.</t>
  </si>
  <si>
    <t>Нажать на кнопку “Корзина”</t>
  </si>
  <si>
    <t>Переход не выполнен. Вывод сообщения “Пожалуйста, войдите в систему, чтобы получить доступ к этой функциональности.</t>
  </si>
  <si>
    <t>Нажать на кнопку “Оплата”</t>
  </si>
  <si>
    <t>Переход не выполнен. Вывод сообщения “Пожалуйста, войдите в систему, чтобы получить доступ к этой функциональности</t>
  </si>
  <si>
    <t>Нажать на кнопку “История заказов”</t>
  </si>
  <si>
    <t>9</t>
  </si>
  <si>
    <t>3/18/2026 08:30:59</t>
  </si>
  <si>
    <t>Отображается главная страница “Интернет магазина” с кнопками “Каталог”, “О компании”, “Контакты”, “Корзина”, “Оплата”, “История заказов”.</t>
  </si>
  <si>
    <t>Нажать на кнопку “Каталог”</t>
  </si>
  <si>
    <t>Открывается вкладка "Каталог", изображается список товаров с карточками,( которые включают изображение, название, описание, цену, категорию, производителя и информацию о бесплатной доставке). Отображаются не более 6 карточек на странице.</t>
  </si>
  <si>
    <t>Нажать на кнопку “2”, “3”, “4” и т.д</t>
  </si>
  <si>
    <t>Список товаров с карточками обновляется при переходе на выбранную страницу. Пагинация успешно работает.</t>
  </si>
  <si>
    <t>10</t>
  </si>
  <si>
    <t>3/18/2026 08:41:42</t>
  </si>
  <si>
    <t>Пользователь должен быть авторизован в системе</t>
  </si>
  <si>
    <t>Выбрать любую карточку товара и нажать кнопку “Добавить в корзину”</t>
  </si>
  <si>
    <t>Вывод сообщения “Товар добавлен в корзину”.
Обновляется информация о количестве товаров в корзине</t>
  </si>
  <si>
    <t>11</t>
  </si>
  <si>
    <t>3/18/2026 08:51:57</t>
  </si>
  <si>
    <t>Нажать кнопку “Все категории” и выбрать категорию товара</t>
  </si>
  <si>
    <t>Отображается выбранная категория</t>
  </si>
  <si>
    <t>Нажать кнопку “Все производители” и выбрать производителя товара</t>
  </si>
  <si>
    <t>Отображается выбранный производитель</t>
  </si>
  <si>
    <t>Нажать кнопку “Применить фильтры”</t>
  </si>
  <si>
    <t>Отображение товара на странице согласно применённым фильтрам</t>
  </si>
  <si>
    <t>12</t>
  </si>
  <si>
    <t>3/19/2026 08:19:08</t>
  </si>
  <si>
    <t>Выбрать в выпадающем списке формы “Сортировка” значения От A до Z</t>
  </si>
  <si>
    <t>Список товаров обновляется согласно выбранной сортировке.</t>
  </si>
  <si>
    <t>Выбрать в выпадающем списке формы “Сортировка” значения От Z до A</t>
  </si>
  <si>
    <t>Выбрать в выпадающем списке формы “Сортировка” значения  “Цена по возрастанию”</t>
  </si>
  <si>
    <t>Выбрать в выпадающем списке формы “Сортировка” значения  “Цена по убыванию”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</si>
</sst>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55" totalsRowShown="0">
  <autoFilter ref="A1:Q55"/>
  <tableColumns count="17">
    <tableColumn id="1" name="ID"/>
    <tableColumn id="2" name="Расположение"/>
    <tableColumn id="3" name="Наименование"/>
    <tableColumn id="4" name="Автоматизирован"/>
    <tableColumn id="5" name="Предусловия"/>
    <tableColumn id="6" name="Шаги"/>
    <tableColumn id="7" name="Постусловия"/>
    <tableColumn id="8" name="Ожидаемый результат"/>
    <tableColumn id="9" name="Тестовые данные"/>
    <tableColumn id="10" name="Комментарии"/>
    <tableColumn id="11" name="Итерации"/>
    <tableColumn id="12" name="Приоритет"/>
    <tableColumn id="13" name="Статус"/>
    <tableColumn id="14" name="Дата создания"/>
    <tableColumn id="15" name="Автор"/>
    <tableColumn id="16" name="Длительность"/>
    <tableColumn id="17" name="Те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abSelected="1" workbookViewId="0"/>
  </sheetViews>
  <sheetFormatPr defaultRowHeight="15" x14ac:dyDescent="0.25"/>
  <cols>
    <col min="1" max="1" width="10.7109375" style="1" customWidth="1"/>
    <col min="2" max="2" width="31.28515625" style="2" customWidth="1"/>
    <col min="3" max="3" width="50.7109375" style="2" customWidth="1"/>
    <col min="4" max="4" width="20.140625" style="1" customWidth="1"/>
    <col min="5" max="5" width="50.7109375" style="1" customWidth="1"/>
    <col min="6" max="6" width="62.7109375" style="1" customWidth="1"/>
    <col min="7" max="7" width="15.140625" style="1" customWidth="1"/>
    <col min="8" max="8" width="50.7109375" style="1" customWidth="1"/>
    <col min="9" max="9" width="19.7109375" style="1" customWidth="1"/>
    <col min="10" max="10" width="16.42578125" style="1" customWidth="1"/>
    <col min="11" max="11" width="48.85546875" style="1" customWidth="1"/>
    <col min="12" max="12" width="13.28515625" style="1" customWidth="1"/>
    <col min="13" max="13" width="10.7109375" style="1" customWidth="1"/>
    <col min="14" max="14" width="18.140625" style="1" customWidth="1"/>
    <col min="15" max="15" width="21.7109375" style="1" customWidth="1"/>
    <col min="16" max="16" width="16.140625" style="1" customWidth="1"/>
    <col min="17" max="17" width="10.7109375" style="1" customWidth="1"/>
    <col min="18" max="18" width="9.140625" style="1" customWidth="1"/>
    <col min="19" max="16384" width="9.140625" style="1"/>
  </cols>
  <sheetData>
    <row r="1" spans="1:17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2" t="s">
        <v>18</v>
      </c>
      <c r="C2" s="2" t="str">
        <f>HYPERLINK("https://team-0wad.testit.software/projects/1/tests/3", "Регистрация пользователя с валидными данными")</f>
        <v>Регистрация пользователя с валидными данными</v>
      </c>
      <c r="D2" s="1" t="s">
        <v>19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20</v>
      </c>
    </row>
    <row r="3" spans="1:17" x14ac:dyDescent="0.25">
      <c r="A3" s="1" t="s">
        <v>20</v>
      </c>
      <c r="B3" s="2" t="s">
        <v>20</v>
      </c>
      <c r="C3" s="2" t="s">
        <v>20</v>
      </c>
      <c r="D3" s="1" t="s">
        <v>20</v>
      </c>
      <c r="E3" s="1" t="s">
        <v>26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</row>
    <row r="4" spans="1:17" x14ac:dyDescent="0.25">
      <c r="A4" s="1" t="s">
        <v>20</v>
      </c>
      <c r="B4" s="2" t="s">
        <v>20</v>
      </c>
      <c r="C4" s="2" t="s">
        <v>20</v>
      </c>
      <c r="D4" s="1" t="s">
        <v>20</v>
      </c>
      <c r="E4" s="1" t="s">
        <v>20</v>
      </c>
      <c r="F4" s="1" t="s">
        <v>27</v>
      </c>
      <c r="G4" s="1" t="s">
        <v>20</v>
      </c>
      <c r="H4" s="1" t="s">
        <v>28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</row>
    <row r="5" spans="1:17" x14ac:dyDescent="0.25">
      <c r="A5" s="1" t="s">
        <v>20</v>
      </c>
      <c r="B5" s="2" t="s">
        <v>20</v>
      </c>
      <c r="C5" s="2" t="s">
        <v>20</v>
      </c>
      <c r="D5" s="1" t="s">
        <v>20</v>
      </c>
      <c r="E5" s="1" t="s">
        <v>20</v>
      </c>
      <c r="F5" s="1" t="s">
        <v>29</v>
      </c>
      <c r="G5" s="1" t="s">
        <v>20</v>
      </c>
      <c r="H5" s="1" t="s">
        <v>30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</row>
    <row r="6" spans="1:17" x14ac:dyDescent="0.25">
      <c r="A6" s="1" t="s">
        <v>20</v>
      </c>
      <c r="B6" s="2" t="s">
        <v>20</v>
      </c>
      <c r="C6" s="2" t="s">
        <v>20</v>
      </c>
      <c r="D6" s="1" t="s">
        <v>20</v>
      </c>
      <c r="E6" s="1" t="s">
        <v>20</v>
      </c>
      <c r="F6" s="1" t="s">
        <v>31</v>
      </c>
      <c r="G6" s="1" t="s">
        <v>20</v>
      </c>
      <c r="H6" s="1" t="s">
        <v>32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20</v>
      </c>
    </row>
    <row r="7" spans="1:17" ht="30" x14ac:dyDescent="0.25">
      <c r="A7" s="1" t="s">
        <v>20</v>
      </c>
      <c r="B7" s="2" t="s">
        <v>20</v>
      </c>
      <c r="C7" s="2" t="s">
        <v>20</v>
      </c>
      <c r="D7" s="1" t="s">
        <v>20</v>
      </c>
      <c r="E7" s="1" t="s">
        <v>20</v>
      </c>
      <c r="F7" s="1" t="s">
        <v>33</v>
      </c>
      <c r="G7" s="1" t="s">
        <v>20</v>
      </c>
      <c r="H7" s="2" t="s">
        <v>34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</row>
    <row r="8" spans="1:17" ht="45" x14ac:dyDescent="0.25">
      <c r="A8" s="1" t="s">
        <v>35</v>
      </c>
      <c r="B8" s="2" t="s">
        <v>18</v>
      </c>
      <c r="C8" s="2" t="str">
        <f>HYPERLINK("https://team-0wad.testit.software/projects/1/tests/4", "Регистрация пользователя с невалидным логином")</f>
        <v>Регистрация пользователя с невалидным логином</v>
      </c>
      <c r="D8" s="1" t="s">
        <v>19</v>
      </c>
      <c r="E8" s="1" t="s">
        <v>20</v>
      </c>
      <c r="F8" s="1" t="s">
        <v>20</v>
      </c>
      <c r="G8" s="1" t="s">
        <v>20</v>
      </c>
      <c r="H8" s="1" t="s">
        <v>20</v>
      </c>
      <c r="I8" s="1" t="s">
        <v>20</v>
      </c>
      <c r="J8" s="1" t="s">
        <v>20</v>
      </c>
      <c r="K8" s="2" t="s">
        <v>36</v>
      </c>
      <c r="L8" s="1" t="s">
        <v>21</v>
      </c>
      <c r="M8" s="1" t="s">
        <v>22</v>
      </c>
      <c r="N8" s="1" t="s">
        <v>37</v>
      </c>
      <c r="O8" s="1" t="s">
        <v>24</v>
      </c>
      <c r="P8" s="1" t="s">
        <v>25</v>
      </c>
      <c r="Q8" s="1" t="s">
        <v>20</v>
      </c>
    </row>
    <row r="9" spans="1:17" x14ac:dyDescent="0.25">
      <c r="A9" s="1" t="s">
        <v>20</v>
      </c>
      <c r="B9" s="2" t="s">
        <v>20</v>
      </c>
      <c r="C9" s="2" t="s">
        <v>20</v>
      </c>
      <c r="D9" s="1" t="s">
        <v>20</v>
      </c>
      <c r="E9" s="1" t="s">
        <v>26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20</v>
      </c>
      <c r="Q9" s="1" t="s">
        <v>20</v>
      </c>
    </row>
    <row r="10" spans="1:17" x14ac:dyDescent="0.25">
      <c r="A10" s="1" t="s">
        <v>20</v>
      </c>
      <c r="B10" s="2" t="s">
        <v>20</v>
      </c>
      <c r="C10" s="2" t="s">
        <v>20</v>
      </c>
      <c r="D10" s="1" t="s">
        <v>20</v>
      </c>
      <c r="E10" s="1" t="s">
        <v>20</v>
      </c>
      <c r="F10" s="1" t="s">
        <v>27</v>
      </c>
      <c r="G10" s="1" t="s">
        <v>20</v>
      </c>
      <c r="H10" s="1" t="s">
        <v>28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20</v>
      </c>
      <c r="Q10" s="1" t="s">
        <v>20</v>
      </c>
    </row>
    <row r="11" spans="1:17" x14ac:dyDescent="0.25">
      <c r="A11" s="1" t="s">
        <v>20</v>
      </c>
      <c r="B11" s="2" t="s">
        <v>20</v>
      </c>
      <c r="C11" s="2" t="s">
        <v>20</v>
      </c>
      <c r="D11" s="1" t="s">
        <v>20</v>
      </c>
      <c r="E11" s="1" t="s">
        <v>20</v>
      </c>
      <c r="F11" s="1" t="s">
        <v>38</v>
      </c>
      <c r="G11" s="1" t="s">
        <v>20</v>
      </c>
      <c r="H11" s="1" t="s">
        <v>30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20</v>
      </c>
      <c r="Q11" s="1" t="s">
        <v>20</v>
      </c>
    </row>
    <row r="12" spans="1:17" x14ac:dyDescent="0.25">
      <c r="A12" s="1" t="s">
        <v>20</v>
      </c>
      <c r="B12" s="2" t="s">
        <v>20</v>
      </c>
      <c r="C12" s="2" t="s">
        <v>20</v>
      </c>
      <c r="D12" s="1" t="s">
        <v>20</v>
      </c>
      <c r="E12" s="1" t="s">
        <v>20</v>
      </c>
      <c r="F12" s="1" t="s">
        <v>39</v>
      </c>
      <c r="G12" s="1" t="s">
        <v>20</v>
      </c>
      <c r="H12" s="1" t="s">
        <v>32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20</v>
      </c>
      <c r="Q12" s="1" t="s">
        <v>20</v>
      </c>
    </row>
    <row r="13" spans="1:17" ht="105" x14ac:dyDescent="0.25">
      <c r="A13" s="1" t="s">
        <v>20</v>
      </c>
      <c r="B13" s="2" t="s">
        <v>20</v>
      </c>
      <c r="C13" s="2" t="s">
        <v>20</v>
      </c>
      <c r="D13" s="1" t="s">
        <v>20</v>
      </c>
      <c r="E13" s="1" t="s">
        <v>20</v>
      </c>
      <c r="F13" s="1" t="s">
        <v>33</v>
      </c>
      <c r="G13" s="1" t="s">
        <v>20</v>
      </c>
      <c r="H13" s="2" t="s">
        <v>40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20</v>
      </c>
      <c r="Q13" s="1" t="s">
        <v>20</v>
      </c>
    </row>
    <row r="14" spans="1:17" ht="45" x14ac:dyDescent="0.25">
      <c r="A14" s="1" t="s">
        <v>41</v>
      </c>
      <c r="B14" s="2" t="s">
        <v>18</v>
      </c>
      <c r="C14" s="2" t="str">
        <f>HYPERLINK("https://team-0wad.testit.software/projects/1/tests/5", "Регистрация пользователя с невалидным паролем")</f>
        <v>Регистрация пользователя с невалидным паролем</v>
      </c>
      <c r="D14" s="1" t="s">
        <v>19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20</v>
      </c>
      <c r="K14" s="2" t="s">
        <v>36</v>
      </c>
      <c r="L14" s="1" t="s">
        <v>21</v>
      </c>
      <c r="M14" s="1" t="s">
        <v>42</v>
      </c>
      <c r="N14" s="1" t="s">
        <v>43</v>
      </c>
      <c r="O14" s="1" t="s">
        <v>24</v>
      </c>
      <c r="P14" s="1" t="s">
        <v>25</v>
      </c>
      <c r="Q14" s="1" t="s">
        <v>20</v>
      </c>
    </row>
    <row r="15" spans="1:17" x14ac:dyDescent="0.25">
      <c r="A15" s="1" t="s">
        <v>20</v>
      </c>
      <c r="B15" s="2" t="s">
        <v>20</v>
      </c>
      <c r="C15" s="2" t="s">
        <v>20</v>
      </c>
      <c r="D15" s="1" t="s">
        <v>20</v>
      </c>
      <c r="E15" s="1" t="s">
        <v>26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20</v>
      </c>
      <c r="P15" s="1" t="s">
        <v>20</v>
      </c>
      <c r="Q15" s="1" t="s">
        <v>20</v>
      </c>
    </row>
    <row r="16" spans="1:17" x14ac:dyDescent="0.25">
      <c r="A16" s="1" t="s">
        <v>20</v>
      </c>
      <c r="B16" s="2" t="s">
        <v>20</v>
      </c>
      <c r="C16" s="2" t="s">
        <v>20</v>
      </c>
      <c r="D16" s="1" t="s">
        <v>20</v>
      </c>
      <c r="E16" s="1" t="s">
        <v>20</v>
      </c>
      <c r="F16" s="1" t="s">
        <v>27</v>
      </c>
      <c r="G16" s="1" t="s">
        <v>20</v>
      </c>
      <c r="H16" s="1" t="s">
        <v>28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20</v>
      </c>
      <c r="Q16" s="1" t="s">
        <v>20</v>
      </c>
    </row>
    <row r="17" spans="1:17" x14ac:dyDescent="0.25">
      <c r="A17" s="1" t="s">
        <v>20</v>
      </c>
      <c r="B17" s="2" t="s">
        <v>20</v>
      </c>
      <c r="C17" s="2" t="s">
        <v>20</v>
      </c>
      <c r="D17" s="1" t="s">
        <v>20</v>
      </c>
      <c r="E17" s="1" t="s">
        <v>20</v>
      </c>
      <c r="F17" s="1" t="s">
        <v>44</v>
      </c>
      <c r="G17" s="1" t="s">
        <v>20</v>
      </c>
      <c r="H17" s="1" t="s">
        <v>30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20</v>
      </c>
      <c r="Q17" s="1" t="s">
        <v>20</v>
      </c>
    </row>
    <row r="18" spans="1:17" x14ac:dyDescent="0.25">
      <c r="A18" s="1" t="s">
        <v>20</v>
      </c>
      <c r="B18" s="2" t="s">
        <v>20</v>
      </c>
      <c r="C18" s="2" t="s">
        <v>20</v>
      </c>
      <c r="D18" s="1" t="s">
        <v>20</v>
      </c>
      <c r="E18" s="1" t="s">
        <v>20</v>
      </c>
      <c r="F18" s="1" t="s">
        <v>45</v>
      </c>
      <c r="G18" s="1" t="s">
        <v>20</v>
      </c>
      <c r="H18" s="1" t="s">
        <v>32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20</v>
      </c>
      <c r="Q18" s="1" t="s">
        <v>20</v>
      </c>
    </row>
    <row r="19" spans="1:17" ht="105" x14ac:dyDescent="0.25">
      <c r="A19" s="1" t="s">
        <v>20</v>
      </c>
      <c r="B19" s="2" t="s">
        <v>20</v>
      </c>
      <c r="C19" s="2" t="s">
        <v>20</v>
      </c>
      <c r="D19" s="1" t="s">
        <v>20</v>
      </c>
      <c r="E19" s="1" t="s">
        <v>20</v>
      </c>
      <c r="F19" s="1" t="s">
        <v>33</v>
      </c>
      <c r="G19" s="1" t="s">
        <v>20</v>
      </c>
      <c r="H19" s="2" t="s">
        <v>40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20</v>
      </c>
      <c r="Q19" s="1" t="s">
        <v>20</v>
      </c>
    </row>
    <row r="20" spans="1:17" x14ac:dyDescent="0.25">
      <c r="A20" s="1" t="s">
        <v>46</v>
      </c>
      <c r="B20" s="2" t="s">
        <v>18</v>
      </c>
      <c r="C20" s="2" t="str">
        <f>HYPERLINK("https://team-0wad.testit.software/projects/1/tests/6", "Вход в систему ")</f>
        <v xml:space="preserve">Вход в систему </v>
      </c>
      <c r="D20" s="1" t="s">
        <v>19</v>
      </c>
      <c r="E20" s="1" t="s">
        <v>20</v>
      </c>
      <c r="F20" s="1" t="s">
        <v>20</v>
      </c>
      <c r="G20" s="1" t="s">
        <v>20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21</v>
      </c>
      <c r="M20" s="1" t="s">
        <v>42</v>
      </c>
      <c r="N20" s="1" t="s">
        <v>47</v>
      </c>
      <c r="O20" s="1" t="s">
        <v>24</v>
      </c>
      <c r="P20" s="1" t="s">
        <v>25</v>
      </c>
      <c r="Q20" s="1" t="s">
        <v>20</v>
      </c>
    </row>
    <row r="21" spans="1:17" x14ac:dyDescent="0.25">
      <c r="A21" s="1" t="s">
        <v>20</v>
      </c>
      <c r="B21" s="2" t="s">
        <v>20</v>
      </c>
      <c r="C21" s="2" t="s">
        <v>20</v>
      </c>
      <c r="D21" s="1" t="s">
        <v>20</v>
      </c>
      <c r="E21" s="1" t="s">
        <v>48</v>
      </c>
      <c r="F21" s="1" t="s">
        <v>20</v>
      </c>
      <c r="G21" s="1" t="s">
        <v>20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20</v>
      </c>
      <c r="Q21" s="1" t="s">
        <v>20</v>
      </c>
    </row>
    <row r="22" spans="1:17" x14ac:dyDescent="0.25">
      <c r="A22" s="1" t="s">
        <v>20</v>
      </c>
      <c r="B22" s="2" t="s">
        <v>20</v>
      </c>
      <c r="C22" s="2" t="s">
        <v>20</v>
      </c>
      <c r="D22" s="1" t="s">
        <v>20</v>
      </c>
      <c r="E22" s="1" t="s">
        <v>20</v>
      </c>
      <c r="F22" s="1" t="s">
        <v>27</v>
      </c>
      <c r="G22" s="1" t="s">
        <v>20</v>
      </c>
      <c r="H22" s="1" t="s">
        <v>28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20</v>
      </c>
      <c r="Q22" s="1" t="s">
        <v>20</v>
      </c>
    </row>
    <row r="23" spans="1:17" x14ac:dyDescent="0.25">
      <c r="A23" s="1" t="s">
        <v>20</v>
      </c>
      <c r="B23" s="2" t="s">
        <v>20</v>
      </c>
      <c r="C23" s="2" t="s">
        <v>20</v>
      </c>
      <c r="D23" s="1" t="s">
        <v>20</v>
      </c>
      <c r="E23" s="1" t="s">
        <v>20</v>
      </c>
      <c r="F23" s="1" t="s">
        <v>49</v>
      </c>
      <c r="G23" s="1" t="s">
        <v>20</v>
      </c>
      <c r="H23" s="1" t="s">
        <v>50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  <c r="P23" s="1" t="s">
        <v>20</v>
      </c>
      <c r="Q23" s="1" t="s">
        <v>20</v>
      </c>
    </row>
    <row r="24" spans="1:17" x14ac:dyDescent="0.25">
      <c r="A24" s="1" t="s">
        <v>20</v>
      </c>
      <c r="B24" s="2" t="s">
        <v>20</v>
      </c>
      <c r="C24" s="2" t="s">
        <v>20</v>
      </c>
      <c r="D24" s="1" t="s">
        <v>20</v>
      </c>
      <c r="E24" s="1" t="s">
        <v>20</v>
      </c>
      <c r="F24" s="1" t="s">
        <v>51</v>
      </c>
      <c r="G24" s="1" t="s">
        <v>20</v>
      </c>
      <c r="H24" s="1" t="s">
        <v>52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20</v>
      </c>
      <c r="O24" s="1" t="s">
        <v>20</v>
      </c>
      <c r="P24" s="1" t="s">
        <v>20</v>
      </c>
      <c r="Q24" s="1" t="s">
        <v>20</v>
      </c>
    </row>
    <row r="25" spans="1:17" x14ac:dyDescent="0.25">
      <c r="A25" s="1" t="s">
        <v>20</v>
      </c>
      <c r="B25" s="2" t="s">
        <v>20</v>
      </c>
      <c r="C25" s="2" t="s">
        <v>20</v>
      </c>
      <c r="D25" s="1" t="s">
        <v>20</v>
      </c>
      <c r="E25" s="1" t="s">
        <v>20</v>
      </c>
      <c r="F25" s="1" t="s">
        <v>53</v>
      </c>
      <c r="G25" s="1" t="s">
        <v>20</v>
      </c>
      <c r="H25" s="1" t="s">
        <v>54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  <c r="P25" s="1" t="s">
        <v>20</v>
      </c>
      <c r="Q25" s="1" t="s">
        <v>20</v>
      </c>
    </row>
    <row r="26" spans="1:17" x14ac:dyDescent="0.25">
      <c r="A26" s="1" t="s">
        <v>55</v>
      </c>
      <c r="B26" s="2" t="s">
        <v>18</v>
      </c>
      <c r="C26" s="2" t="str">
        <f>HYPERLINK("https://team-0wad.testit.software/projects/1/tests/7", "Выход из системы")</f>
        <v>Выход из системы</v>
      </c>
      <c r="D26" s="1" t="s">
        <v>19</v>
      </c>
      <c r="E26" s="1" t="s">
        <v>20</v>
      </c>
      <c r="F26" s="1" t="s">
        <v>20</v>
      </c>
      <c r="G26" s="1" t="s">
        <v>20</v>
      </c>
      <c r="H26" s="1" t="s">
        <v>20</v>
      </c>
      <c r="I26" s="1" t="s">
        <v>20</v>
      </c>
      <c r="J26" s="1" t="s">
        <v>20</v>
      </c>
      <c r="K26" s="1" t="s">
        <v>20</v>
      </c>
      <c r="L26" s="1" t="s">
        <v>21</v>
      </c>
      <c r="M26" s="1" t="s">
        <v>42</v>
      </c>
      <c r="N26" s="1" t="s">
        <v>56</v>
      </c>
      <c r="O26" s="1" t="s">
        <v>24</v>
      </c>
      <c r="P26" s="1" t="s">
        <v>25</v>
      </c>
      <c r="Q26" s="1" t="s">
        <v>20</v>
      </c>
    </row>
    <row r="27" spans="1:17" x14ac:dyDescent="0.25">
      <c r="A27" s="1" t="s">
        <v>20</v>
      </c>
      <c r="B27" s="2" t="s">
        <v>20</v>
      </c>
      <c r="C27" s="2" t="s">
        <v>20</v>
      </c>
      <c r="D27" s="1" t="s">
        <v>20</v>
      </c>
      <c r="E27" s="1" t="s">
        <v>57</v>
      </c>
      <c r="F27" s="1" t="s">
        <v>20</v>
      </c>
      <c r="G27" s="1" t="s">
        <v>20</v>
      </c>
      <c r="H27" s="1" t="s">
        <v>20</v>
      </c>
      <c r="I27" s="1" t="s">
        <v>20</v>
      </c>
      <c r="J27" s="1" t="s">
        <v>20</v>
      </c>
      <c r="K27" s="1" t="s">
        <v>20</v>
      </c>
      <c r="L27" s="1" t="s">
        <v>20</v>
      </c>
      <c r="M27" s="1" t="s">
        <v>20</v>
      </c>
      <c r="N27" s="1" t="s">
        <v>20</v>
      </c>
      <c r="O27" s="1" t="s">
        <v>20</v>
      </c>
      <c r="P27" s="1" t="s">
        <v>20</v>
      </c>
      <c r="Q27" s="1" t="s">
        <v>20</v>
      </c>
    </row>
    <row r="28" spans="1:17" x14ac:dyDescent="0.25">
      <c r="A28" s="1" t="s">
        <v>20</v>
      </c>
      <c r="B28" s="2" t="s">
        <v>20</v>
      </c>
      <c r="C28" s="2" t="s">
        <v>20</v>
      </c>
      <c r="D28" s="1" t="s">
        <v>20</v>
      </c>
      <c r="E28" s="1" t="s">
        <v>20</v>
      </c>
      <c r="F28" s="1" t="s">
        <v>58</v>
      </c>
      <c r="G28" s="1" t="s">
        <v>20</v>
      </c>
      <c r="H28" s="1" t="s">
        <v>59</v>
      </c>
      <c r="I28" s="1" t="s">
        <v>20</v>
      </c>
      <c r="J28" s="1" t="s">
        <v>20</v>
      </c>
      <c r="K28" s="1" t="s">
        <v>20</v>
      </c>
      <c r="L28" s="1" t="s">
        <v>20</v>
      </c>
      <c r="M28" s="1" t="s">
        <v>20</v>
      </c>
      <c r="N28" s="1" t="s">
        <v>20</v>
      </c>
      <c r="O28" s="1" t="s">
        <v>20</v>
      </c>
      <c r="P28" s="1" t="s">
        <v>20</v>
      </c>
      <c r="Q28" s="1" t="s">
        <v>20</v>
      </c>
    </row>
    <row r="29" spans="1:17" x14ac:dyDescent="0.25">
      <c r="A29" s="1" t="s">
        <v>60</v>
      </c>
      <c r="B29" s="2" t="s">
        <v>18</v>
      </c>
      <c r="C29" s="2" t="str">
        <f>HYPERLINK("https://team-0wad.testit.software/projects/1/tests/8", "Проверка авторизации перед доступом к функциональности ")</f>
        <v xml:space="preserve">Проверка авторизации перед доступом к функциональности </v>
      </c>
      <c r="D29" s="1" t="s">
        <v>19</v>
      </c>
      <c r="E29" s="1" t="s">
        <v>20</v>
      </c>
      <c r="F29" s="1" t="s">
        <v>20</v>
      </c>
      <c r="G29" s="1" t="s">
        <v>20</v>
      </c>
      <c r="H29" s="1" t="s">
        <v>20</v>
      </c>
      <c r="I29" s="1" t="s">
        <v>20</v>
      </c>
      <c r="J29" s="1" t="s">
        <v>20</v>
      </c>
      <c r="K29" s="1" t="s">
        <v>20</v>
      </c>
      <c r="L29" s="1" t="s">
        <v>21</v>
      </c>
      <c r="M29" s="1" t="s">
        <v>42</v>
      </c>
      <c r="N29" s="1" t="s">
        <v>61</v>
      </c>
      <c r="O29" s="1" t="s">
        <v>24</v>
      </c>
      <c r="P29" s="1" t="s">
        <v>25</v>
      </c>
      <c r="Q29" s="1" t="s">
        <v>20</v>
      </c>
    </row>
    <row r="30" spans="1:17" x14ac:dyDescent="0.25">
      <c r="A30" s="1" t="s">
        <v>20</v>
      </c>
      <c r="B30" s="2" t="s">
        <v>20</v>
      </c>
      <c r="C30" s="2" t="s">
        <v>20</v>
      </c>
      <c r="D30" s="1" t="s">
        <v>20</v>
      </c>
      <c r="E30" s="1" t="s">
        <v>62</v>
      </c>
      <c r="F30" s="1" t="s">
        <v>20</v>
      </c>
      <c r="G30" s="1" t="s">
        <v>20</v>
      </c>
      <c r="H30" s="1" t="s">
        <v>63</v>
      </c>
      <c r="I30" s="1" t="s">
        <v>20</v>
      </c>
      <c r="J30" s="1" t="s">
        <v>20</v>
      </c>
      <c r="K30" s="1" t="s">
        <v>20</v>
      </c>
      <c r="L30" s="1" t="s">
        <v>20</v>
      </c>
      <c r="M30" s="1" t="s">
        <v>20</v>
      </c>
      <c r="N30" s="1" t="s">
        <v>20</v>
      </c>
      <c r="O30" s="1" t="s">
        <v>20</v>
      </c>
      <c r="P30" s="1" t="s">
        <v>20</v>
      </c>
      <c r="Q30" s="1" t="s">
        <v>20</v>
      </c>
    </row>
    <row r="31" spans="1:17" x14ac:dyDescent="0.25">
      <c r="A31" s="1" t="s">
        <v>20</v>
      </c>
      <c r="B31" s="2" t="s">
        <v>20</v>
      </c>
      <c r="C31" s="2" t="s">
        <v>20</v>
      </c>
      <c r="D31" s="1" t="s">
        <v>20</v>
      </c>
      <c r="E31" s="1" t="s">
        <v>20</v>
      </c>
      <c r="F31" s="1" t="s">
        <v>64</v>
      </c>
      <c r="G31" s="1" t="s">
        <v>20</v>
      </c>
      <c r="H31" s="1" t="s">
        <v>65</v>
      </c>
      <c r="I31" s="1" t="s">
        <v>20</v>
      </c>
      <c r="J31" s="1" t="s">
        <v>20</v>
      </c>
      <c r="K31" s="1" t="s">
        <v>20</v>
      </c>
      <c r="L31" s="1" t="s">
        <v>20</v>
      </c>
      <c r="M31" s="1" t="s">
        <v>20</v>
      </c>
      <c r="N31" s="1" t="s">
        <v>20</v>
      </c>
      <c r="O31" s="1" t="s">
        <v>20</v>
      </c>
      <c r="P31" s="1" t="s">
        <v>20</v>
      </c>
      <c r="Q31" s="1" t="s">
        <v>20</v>
      </c>
    </row>
    <row r="32" spans="1:17" x14ac:dyDescent="0.25">
      <c r="A32" s="1" t="s">
        <v>20</v>
      </c>
      <c r="B32" s="2" t="s">
        <v>20</v>
      </c>
      <c r="C32" s="2" t="s">
        <v>20</v>
      </c>
      <c r="D32" s="1" t="s">
        <v>20</v>
      </c>
      <c r="E32" s="1" t="s">
        <v>20</v>
      </c>
      <c r="F32" s="1" t="s">
        <v>66</v>
      </c>
      <c r="G32" s="1" t="s">
        <v>20</v>
      </c>
      <c r="H32" s="1" t="s">
        <v>67</v>
      </c>
      <c r="I32" s="1" t="s">
        <v>20</v>
      </c>
      <c r="J32" s="1" t="s">
        <v>20</v>
      </c>
      <c r="K32" s="1" t="s">
        <v>20</v>
      </c>
      <c r="L32" s="1" t="s">
        <v>20</v>
      </c>
      <c r="M32" s="1" t="s">
        <v>20</v>
      </c>
      <c r="N32" s="1" t="s">
        <v>20</v>
      </c>
      <c r="O32" s="1" t="s">
        <v>20</v>
      </c>
      <c r="P32" s="1" t="s">
        <v>20</v>
      </c>
      <c r="Q32" s="1" t="s">
        <v>20</v>
      </c>
    </row>
    <row r="33" spans="1:17" x14ac:dyDescent="0.25">
      <c r="A33" s="1" t="s">
        <v>20</v>
      </c>
      <c r="B33" s="2" t="s">
        <v>20</v>
      </c>
      <c r="C33" s="2" t="s">
        <v>20</v>
      </c>
      <c r="D33" s="1" t="s">
        <v>20</v>
      </c>
      <c r="E33" s="1" t="s">
        <v>20</v>
      </c>
      <c r="F33" s="1" t="s">
        <v>68</v>
      </c>
      <c r="G33" s="1" t="s">
        <v>20</v>
      </c>
      <c r="H33" s="1" t="s">
        <v>69</v>
      </c>
      <c r="I33" s="1" t="s">
        <v>20</v>
      </c>
      <c r="J33" s="1" t="s">
        <v>20</v>
      </c>
      <c r="K33" s="1" t="s">
        <v>20</v>
      </c>
      <c r="L33" s="1" t="s">
        <v>20</v>
      </c>
      <c r="M33" s="1" t="s">
        <v>20</v>
      </c>
      <c r="N33" s="1" t="s">
        <v>20</v>
      </c>
      <c r="O33" s="1" t="s">
        <v>20</v>
      </c>
      <c r="P33" s="1" t="s">
        <v>20</v>
      </c>
      <c r="Q33" s="1" t="s">
        <v>20</v>
      </c>
    </row>
    <row r="34" spans="1:17" x14ac:dyDescent="0.25">
      <c r="A34" s="1" t="s">
        <v>20</v>
      </c>
      <c r="B34" s="2" t="s">
        <v>20</v>
      </c>
      <c r="C34" s="2" t="s">
        <v>20</v>
      </c>
      <c r="D34" s="1" t="s">
        <v>20</v>
      </c>
      <c r="E34" s="1" t="s">
        <v>20</v>
      </c>
      <c r="F34" s="1" t="s">
        <v>70</v>
      </c>
      <c r="G34" s="1" t="s">
        <v>20</v>
      </c>
      <c r="H34" s="1" t="s">
        <v>69</v>
      </c>
      <c r="I34" s="1" t="s">
        <v>20</v>
      </c>
      <c r="J34" s="1" t="s">
        <v>20</v>
      </c>
      <c r="K34" s="1" t="s">
        <v>20</v>
      </c>
      <c r="L34" s="1" t="s">
        <v>20</v>
      </c>
      <c r="M34" s="1" t="s">
        <v>20</v>
      </c>
      <c r="N34" s="1" t="s">
        <v>20</v>
      </c>
      <c r="O34" s="1" t="s">
        <v>20</v>
      </c>
      <c r="P34" s="1" t="s">
        <v>20</v>
      </c>
      <c r="Q34" s="1" t="s">
        <v>20</v>
      </c>
    </row>
    <row r="35" spans="1:17" x14ac:dyDescent="0.25">
      <c r="A35" s="1" t="s">
        <v>71</v>
      </c>
      <c r="B35" s="2" t="s">
        <v>18</v>
      </c>
      <c r="C35" s="2" t="str">
        <f>HYPERLINK("https://team-0wad.testit.software/projects/1/tests/9", "Просмотр списка товаров и деталей продукта")</f>
        <v>Просмотр списка товаров и деталей продукта</v>
      </c>
      <c r="D35" s="1" t="s">
        <v>19</v>
      </c>
      <c r="E35" s="1" t="s">
        <v>20</v>
      </c>
      <c r="F35" s="1" t="s">
        <v>20</v>
      </c>
      <c r="G35" s="1" t="s">
        <v>20</v>
      </c>
      <c r="H35" s="1" t="s">
        <v>20</v>
      </c>
      <c r="I35" s="1" t="s">
        <v>20</v>
      </c>
      <c r="J35" s="1" t="s">
        <v>20</v>
      </c>
      <c r="K35" s="1" t="s">
        <v>20</v>
      </c>
      <c r="L35" s="1" t="s">
        <v>21</v>
      </c>
      <c r="M35" s="1" t="s">
        <v>42</v>
      </c>
      <c r="N35" s="1" t="s">
        <v>72</v>
      </c>
      <c r="O35" s="1" t="s">
        <v>24</v>
      </c>
      <c r="P35" s="1" t="s">
        <v>25</v>
      </c>
      <c r="Q35" s="1" t="s">
        <v>20</v>
      </c>
    </row>
    <row r="36" spans="1:17" x14ac:dyDescent="0.25">
      <c r="A36" s="1" t="s">
        <v>20</v>
      </c>
      <c r="B36" s="2" t="s">
        <v>20</v>
      </c>
      <c r="C36" s="2" t="s">
        <v>20</v>
      </c>
      <c r="D36" s="1" t="s">
        <v>20</v>
      </c>
      <c r="E36" s="1" t="s">
        <v>20</v>
      </c>
      <c r="F36" s="1" t="s">
        <v>64</v>
      </c>
      <c r="G36" s="1" t="s">
        <v>20</v>
      </c>
      <c r="H36" s="1" t="s">
        <v>73</v>
      </c>
      <c r="I36" s="1" t="s">
        <v>20</v>
      </c>
      <c r="J36" s="1" t="s">
        <v>20</v>
      </c>
      <c r="K36" s="1" t="s">
        <v>20</v>
      </c>
      <c r="L36" s="1" t="s">
        <v>20</v>
      </c>
      <c r="M36" s="1" t="s">
        <v>20</v>
      </c>
      <c r="N36" s="1" t="s">
        <v>20</v>
      </c>
      <c r="O36" s="1" t="s">
        <v>20</v>
      </c>
      <c r="P36" s="1" t="s">
        <v>20</v>
      </c>
      <c r="Q36" s="1" t="s">
        <v>20</v>
      </c>
    </row>
    <row r="37" spans="1:17" x14ac:dyDescent="0.25">
      <c r="A37" s="1" t="s">
        <v>20</v>
      </c>
      <c r="B37" s="2" t="s">
        <v>20</v>
      </c>
      <c r="C37" s="2" t="s">
        <v>20</v>
      </c>
      <c r="D37" s="1" t="s">
        <v>20</v>
      </c>
      <c r="E37" s="1" t="s">
        <v>20</v>
      </c>
      <c r="F37" s="1" t="s">
        <v>74</v>
      </c>
      <c r="G37" s="1" t="s">
        <v>20</v>
      </c>
      <c r="H37" s="1" t="s">
        <v>75</v>
      </c>
      <c r="I37" s="1" t="s">
        <v>20</v>
      </c>
      <c r="J37" s="1" t="s">
        <v>20</v>
      </c>
      <c r="K37" s="1" t="s">
        <v>20</v>
      </c>
      <c r="L37" s="1" t="s">
        <v>20</v>
      </c>
      <c r="M37" s="1" t="s">
        <v>20</v>
      </c>
      <c r="N37" s="1" t="s">
        <v>20</v>
      </c>
      <c r="O37" s="1" t="s">
        <v>20</v>
      </c>
      <c r="P37" s="1" t="s">
        <v>20</v>
      </c>
      <c r="Q37" s="1" t="s">
        <v>20</v>
      </c>
    </row>
    <row r="38" spans="1:17" x14ac:dyDescent="0.25">
      <c r="A38" s="1" t="s">
        <v>20</v>
      </c>
      <c r="B38" s="2" t="s">
        <v>20</v>
      </c>
      <c r="C38" s="2" t="s">
        <v>20</v>
      </c>
      <c r="D38" s="1" t="s">
        <v>20</v>
      </c>
      <c r="E38" s="1" t="s">
        <v>20</v>
      </c>
      <c r="F38" s="1" t="s">
        <v>76</v>
      </c>
      <c r="G38" s="1" t="s">
        <v>20</v>
      </c>
      <c r="H38" s="1" t="s">
        <v>77</v>
      </c>
      <c r="I38" s="1" t="s">
        <v>20</v>
      </c>
      <c r="J38" s="1" t="s">
        <v>20</v>
      </c>
      <c r="K38" s="1" t="s">
        <v>20</v>
      </c>
      <c r="L38" s="1" t="s">
        <v>20</v>
      </c>
      <c r="M38" s="1" t="s">
        <v>20</v>
      </c>
      <c r="N38" s="1" t="s">
        <v>20</v>
      </c>
      <c r="O38" s="1" t="s">
        <v>20</v>
      </c>
      <c r="P38" s="1" t="s">
        <v>20</v>
      </c>
      <c r="Q38" s="1" t="s">
        <v>20</v>
      </c>
    </row>
    <row r="39" spans="1:17" x14ac:dyDescent="0.25">
      <c r="A39" s="1" t="s">
        <v>78</v>
      </c>
      <c r="B39" s="2" t="s">
        <v>18</v>
      </c>
      <c r="C39" s="2" t="str">
        <f>HYPERLINK("https://team-0wad.testit.software/projects/1/tests/10", "Добавление товара в корзину")</f>
        <v>Добавление товара в корзину</v>
      </c>
      <c r="D39" s="1" t="s">
        <v>19</v>
      </c>
      <c r="E39" s="1" t="s">
        <v>20</v>
      </c>
      <c r="F39" s="1" t="s">
        <v>20</v>
      </c>
      <c r="G39" s="1" t="s">
        <v>20</v>
      </c>
      <c r="H39" s="1" t="s">
        <v>20</v>
      </c>
      <c r="I39" s="1" t="s">
        <v>20</v>
      </c>
      <c r="J39" s="1" t="s">
        <v>20</v>
      </c>
      <c r="K39" s="1" t="s">
        <v>20</v>
      </c>
      <c r="L39" s="1" t="s">
        <v>21</v>
      </c>
      <c r="M39" s="1" t="s">
        <v>42</v>
      </c>
      <c r="N39" s="1" t="s">
        <v>79</v>
      </c>
      <c r="O39" s="1" t="s">
        <v>24</v>
      </c>
      <c r="P39" s="1" t="s">
        <v>25</v>
      </c>
      <c r="Q39" s="1" t="s">
        <v>20</v>
      </c>
    </row>
    <row r="40" spans="1:17" x14ac:dyDescent="0.25">
      <c r="A40" s="1" t="s">
        <v>20</v>
      </c>
      <c r="B40" s="2" t="s">
        <v>20</v>
      </c>
      <c r="C40" s="2" t="s">
        <v>20</v>
      </c>
      <c r="D40" s="1" t="s">
        <v>20</v>
      </c>
      <c r="E40" s="1" t="s">
        <v>80</v>
      </c>
      <c r="F40" s="1" t="s">
        <v>20</v>
      </c>
      <c r="G40" s="1" t="s">
        <v>20</v>
      </c>
      <c r="H40" s="1" t="s">
        <v>20</v>
      </c>
      <c r="I40" s="1" t="s">
        <v>20</v>
      </c>
      <c r="J40" s="1" t="s">
        <v>20</v>
      </c>
      <c r="K40" s="1" t="s">
        <v>20</v>
      </c>
      <c r="L40" s="1" t="s">
        <v>20</v>
      </c>
      <c r="M40" s="1" t="s">
        <v>20</v>
      </c>
      <c r="N40" s="1" t="s">
        <v>20</v>
      </c>
      <c r="O40" s="1" t="s">
        <v>20</v>
      </c>
      <c r="P40" s="1" t="s">
        <v>20</v>
      </c>
      <c r="Q40" s="1" t="s">
        <v>20</v>
      </c>
    </row>
    <row r="41" spans="1:17" x14ac:dyDescent="0.25">
      <c r="A41" s="1" t="s">
        <v>20</v>
      </c>
      <c r="B41" s="2" t="s">
        <v>20</v>
      </c>
      <c r="C41" s="2" t="s">
        <v>20</v>
      </c>
      <c r="D41" s="1" t="s">
        <v>20</v>
      </c>
      <c r="E41" s="1" t="s">
        <v>20</v>
      </c>
      <c r="F41" s="1" t="s">
        <v>64</v>
      </c>
      <c r="G41" s="1" t="s">
        <v>20</v>
      </c>
      <c r="H41" s="1" t="s">
        <v>73</v>
      </c>
      <c r="I41" s="1" t="s">
        <v>20</v>
      </c>
      <c r="J41" s="1" t="s">
        <v>20</v>
      </c>
      <c r="K41" s="1" t="s">
        <v>20</v>
      </c>
      <c r="L41" s="1" t="s">
        <v>20</v>
      </c>
      <c r="M41" s="1" t="s">
        <v>20</v>
      </c>
      <c r="N41" s="1" t="s">
        <v>20</v>
      </c>
      <c r="O41" s="1" t="s">
        <v>20</v>
      </c>
      <c r="P41" s="1" t="s">
        <v>20</v>
      </c>
      <c r="Q41" s="1" t="s">
        <v>20</v>
      </c>
    </row>
    <row r="42" spans="1:17" x14ac:dyDescent="0.25">
      <c r="A42" s="1" t="s">
        <v>20</v>
      </c>
      <c r="B42" s="2" t="s">
        <v>20</v>
      </c>
      <c r="C42" s="2" t="s">
        <v>20</v>
      </c>
      <c r="D42" s="1" t="s">
        <v>20</v>
      </c>
      <c r="E42" s="1" t="s">
        <v>20</v>
      </c>
      <c r="F42" s="1" t="s">
        <v>74</v>
      </c>
      <c r="G42" s="1" t="s">
        <v>20</v>
      </c>
      <c r="H42" s="1" t="s">
        <v>75</v>
      </c>
      <c r="I42" s="1" t="s">
        <v>20</v>
      </c>
      <c r="J42" s="1" t="s">
        <v>20</v>
      </c>
      <c r="K42" s="1" t="s">
        <v>20</v>
      </c>
      <c r="L42" s="1" t="s">
        <v>20</v>
      </c>
      <c r="M42" s="1" t="s">
        <v>20</v>
      </c>
      <c r="N42" s="1" t="s">
        <v>20</v>
      </c>
      <c r="O42" s="1" t="s">
        <v>20</v>
      </c>
      <c r="P42" s="1" t="s">
        <v>20</v>
      </c>
      <c r="Q42" s="1" t="s">
        <v>20</v>
      </c>
    </row>
    <row r="43" spans="1:17" ht="45" x14ac:dyDescent="0.25">
      <c r="A43" s="1" t="s">
        <v>20</v>
      </c>
      <c r="B43" s="2" t="s">
        <v>20</v>
      </c>
      <c r="C43" s="2" t="s">
        <v>20</v>
      </c>
      <c r="D43" s="1" t="s">
        <v>20</v>
      </c>
      <c r="E43" s="1" t="s">
        <v>20</v>
      </c>
      <c r="F43" s="1" t="s">
        <v>81</v>
      </c>
      <c r="G43" s="1" t="s">
        <v>20</v>
      </c>
      <c r="H43" s="2" t="s">
        <v>82</v>
      </c>
      <c r="I43" s="1" t="s">
        <v>20</v>
      </c>
      <c r="J43" s="1" t="s">
        <v>20</v>
      </c>
      <c r="K43" s="1" t="s">
        <v>20</v>
      </c>
      <c r="L43" s="1" t="s">
        <v>20</v>
      </c>
      <c r="M43" s="1" t="s">
        <v>20</v>
      </c>
      <c r="N43" s="1" t="s">
        <v>20</v>
      </c>
      <c r="O43" s="1" t="s">
        <v>20</v>
      </c>
      <c r="P43" s="1" t="s">
        <v>20</v>
      </c>
      <c r="Q43" s="1" t="s">
        <v>20</v>
      </c>
    </row>
    <row r="44" spans="1:17" x14ac:dyDescent="0.25">
      <c r="A44" s="1" t="s">
        <v>83</v>
      </c>
      <c r="B44" s="2" t="s">
        <v>18</v>
      </c>
      <c r="C44" s="2" t="str">
        <f>HYPERLINK("https://team-0wad.testit.software/projects/1/tests/11", "Фильтрация списка товаров")</f>
        <v>Фильтрация списка товаров</v>
      </c>
      <c r="D44" s="1" t="s">
        <v>19</v>
      </c>
      <c r="E44" s="1" t="s">
        <v>20</v>
      </c>
      <c r="F44" s="1" t="s">
        <v>20</v>
      </c>
      <c r="G44" s="1" t="s">
        <v>20</v>
      </c>
      <c r="H44" s="1" t="s">
        <v>20</v>
      </c>
      <c r="I44" s="1" t="s">
        <v>20</v>
      </c>
      <c r="J44" s="1" t="s">
        <v>20</v>
      </c>
      <c r="K44" s="1" t="s">
        <v>20</v>
      </c>
      <c r="L44" s="1" t="s">
        <v>21</v>
      </c>
      <c r="M44" s="1" t="s">
        <v>42</v>
      </c>
      <c r="N44" s="1" t="s">
        <v>84</v>
      </c>
      <c r="O44" s="1" t="s">
        <v>24</v>
      </c>
      <c r="P44" s="1" t="s">
        <v>25</v>
      </c>
      <c r="Q44" s="1" t="s">
        <v>20</v>
      </c>
    </row>
    <row r="45" spans="1:17" x14ac:dyDescent="0.25">
      <c r="A45" s="1" t="s">
        <v>20</v>
      </c>
      <c r="B45" s="2" t="s">
        <v>20</v>
      </c>
      <c r="C45" s="2" t="s">
        <v>20</v>
      </c>
      <c r="D45" s="1" t="s">
        <v>20</v>
      </c>
      <c r="E45" s="1" t="s">
        <v>20</v>
      </c>
      <c r="F45" s="1" t="s">
        <v>20</v>
      </c>
      <c r="G45" s="1" t="s">
        <v>20</v>
      </c>
      <c r="H45" s="1" t="s">
        <v>20</v>
      </c>
      <c r="I45" s="1" t="s">
        <v>20</v>
      </c>
      <c r="J45" s="1" t="s">
        <v>20</v>
      </c>
      <c r="K45" s="1" t="s">
        <v>20</v>
      </c>
      <c r="L45" s="1" t="s">
        <v>20</v>
      </c>
      <c r="M45" s="1" t="s">
        <v>20</v>
      </c>
      <c r="N45" s="1" t="s">
        <v>20</v>
      </c>
      <c r="O45" s="1" t="s">
        <v>20</v>
      </c>
      <c r="P45" s="1" t="s">
        <v>20</v>
      </c>
      <c r="Q45" s="1" t="s">
        <v>20</v>
      </c>
    </row>
    <row r="46" spans="1:17" x14ac:dyDescent="0.25">
      <c r="A46" s="1" t="s">
        <v>20</v>
      </c>
      <c r="B46" s="2" t="s">
        <v>20</v>
      </c>
      <c r="C46" s="2" t="s">
        <v>20</v>
      </c>
      <c r="D46" s="1" t="s">
        <v>20</v>
      </c>
      <c r="E46" s="1" t="s">
        <v>20</v>
      </c>
      <c r="F46" s="1" t="s">
        <v>64</v>
      </c>
      <c r="G46" s="1" t="s">
        <v>20</v>
      </c>
      <c r="H46" s="1" t="s">
        <v>73</v>
      </c>
      <c r="I46" s="1" t="s">
        <v>20</v>
      </c>
      <c r="J46" s="1" t="s">
        <v>20</v>
      </c>
      <c r="K46" s="1" t="s">
        <v>20</v>
      </c>
      <c r="L46" s="1" t="s">
        <v>20</v>
      </c>
      <c r="M46" s="1" t="s">
        <v>20</v>
      </c>
      <c r="N46" s="1" t="s">
        <v>20</v>
      </c>
      <c r="O46" s="1" t="s">
        <v>20</v>
      </c>
      <c r="P46" s="1" t="s">
        <v>20</v>
      </c>
      <c r="Q46" s="1" t="s">
        <v>20</v>
      </c>
    </row>
    <row r="47" spans="1:17" x14ac:dyDescent="0.25">
      <c r="A47" s="1" t="s">
        <v>20</v>
      </c>
      <c r="B47" s="2" t="s">
        <v>20</v>
      </c>
      <c r="C47" s="2" t="s">
        <v>20</v>
      </c>
      <c r="D47" s="1" t="s">
        <v>20</v>
      </c>
      <c r="E47" s="1" t="s">
        <v>20</v>
      </c>
      <c r="F47" s="1" t="s">
        <v>85</v>
      </c>
      <c r="G47" s="1" t="s">
        <v>20</v>
      </c>
      <c r="H47" s="1" t="s">
        <v>86</v>
      </c>
      <c r="I47" s="1" t="s">
        <v>20</v>
      </c>
      <c r="J47" s="1" t="s">
        <v>20</v>
      </c>
      <c r="K47" s="1" t="s">
        <v>20</v>
      </c>
      <c r="L47" s="1" t="s">
        <v>20</v>
      </c>
      <c r="M47" s="1" t="s">
        <v>20</v>
      </c>
      <c r="N47" s="1" t="s">
        <v>20</v>
      </c>
      <c r="O47" s="1" t="s">
        <v>20</v>
      </c>
      <c r="P47" s="1" t="s">
        <v>20</v>
      </c>
      <c r="Q47" s="1" t="s">
        <v>20</v>
      </c>
    </row>
    <row r="48" spans="1:17" x14ac:dyDescent="0.25">
      <c r="A48" s="1" t="s">
        <v>20</v>
      </c>
      <c r="B48" s="2" t="s">
        <v>20</v>
      </c>
      <c r="C48" s="2" t="s">
        <v>20</v>
      </c>
      <c r="D48" s="1" t="s">
        <v>20</v>
      </c>
      <c r="E48" s="1" t="s">
        <v>20</v>
      </c>
      <c r="F48" s="1" t="s">
        <v>87</v>
      </c>
      <c r="G48" s="1" t="s">
        <v>20</v>
      </c>
      <c r="H48" s="1" t="s">
        <v>88</v>
      </c>
      <c r="I48" s="1" t="s">
        <v>20</v>
      </c>
      <c r="J48" s="1" t="s">
        <v>20</v>
      </c>
      <c r="K48" s="1" t="s">
        <v>20</v>
      </c>
      <c r="L48" s="1" t="s">
        <v>20</v>
      </c>
      <c r="M48" s="1" t="s">
        <v>20</v>
      </c>
      <c r="N48" s="1" t="s">
        <v>20</v>
      </c>
      <c r="O48" s="1" t="s">
        <v>20</v>
      </c>
      <c r="P48" s="1" t="s">
        <v>20</v>
      </c>
      <c r="Q48" s="1" t="s">
        <v>20</v>
      </c>
    </row>
    <row r="49" spans="1:17" x14ac:dyDescent="0.25">
      <c r="A49" s="1" t="s">
        <v>20</v>
      </c>
      <c r="B49" s="2" t="s">
        <v>20</v>
      </c>
      <c r="C49" s="2" t="s">
        <v>20</v>
      </c>
      <c r="D49" s="1" t="s">
        <v>20</v>
      </c>
      <c r="E49" s="1" t="s">
        <v>20</v>
      </c>
      <c r="F49" s="1" t="s">
        <v>89</v>
      </c>
      <c r="G49" s="1" t="s">
        <v>20</v>
      </c>
      <c r="H49" s="1" t="s">
        <v>90</v>
      </c>
      <c r="I49" s="1" t="s">
        <v>20</v>
      </c>
      <c r="J49" s="1" t="s">
        <v>20</v>
      </c>
      <c r="K49" s="1" t="s">
        <v>20</v>
      </c>
      <c r="L49" s="1" t="s">
        <v>20</v>
      </c>
      <c r="M49" s="1" t="s">
        <v>20</v>
      </c>
      <c r="N49" s="1" t="s">
        <v>20</v>
      </c>
      <c r="O49" s="1" t="s">
        <v>20</v>
      </c>
      <c r="P49" s="1" t="s">
        <v>20</v>
      </c>
      <c r="Q49" s="1" t="s">
        <v>20</v>
      </c>
    </row>
    <row r="50" spans="1:17" x14ac:dyDescent="0.25">
      <c r="A50" s="1" t="s">
        <v>91</v>
      </c>
      <c r="B50" s="2" t="s">
        <v>18</v>
      </c>
      <c r="C50" s="2" t="str">
        <f>HYPERLINK("https://team-0wad.testit.software/projects/1/tests/12", "Сортировка списка товаров")</f>
        <v>Сортировка списка товаров</v>
      </c>
      <c r="D50" s="1" t="s">
        <v>19</v>
      </c>
      <c r="E50" s="1" t="s">
        <v>20</v>
      </c>
      <c r="F50" s="1" t="s">
        <v>20</v>
      </c>
      <c r="G50" s="1" t="s">
        <v>20</v>
      </c>
      <c r="H50" s="1" t="s">
        <v>20</v>
      </c>
      <c r="I50" s="1" t="s">
        <v>20</v>
      </c>
      <c r="J50" s="1" t="s">
        <v>20</v>
      </c>
      <c r="K50" s="1" t="s">
        <v>20</v>
      </c>
      <c r="L50" s="1" t="s">
        <v>21</v>
      </c>
      <c r="M50" s="1" t="s">
        <v>42</v>
      </c>
      <c r="N50" s="1" t="s">
        <v>92</v>
      </c>
      <c r="O50" s="1" t="s">
        <v>24</v>
      </c>
      <c r="P50" s="1" t="s">
        <v>25</v>
      </c>
      <c r="Q50" s="1" t="s">
        <v>20</v>
      </c>
    </row>
    <row r="51" spans="1:17" x14ac:dyDescent="0.25">
      <c r="A51" s="1" t="s">
        <v>20</v>
      </c>
      <c r="B51" s="2" t="s">
        <v>20</v>
      </c>
      <c r="C51" s="2" t="s">
        <v>20</v>
      </c>
      <c r="D51" s="1" t="s">
        <v>20</v>
      </c>
      <c r="E51" s="1" t="s">
        <v>20</v>
      </c>
      <c r="F51" s="1" t="s">
        <v>64</v>
      </c>
      <c r="G51" s="1" t="s">
        <v>20</v>
      </c>
      <c r="H51" s="1" t="s">
        <v>73</v>
      </c>
      <c r="I51" s="1" t="s">
        <v>20</v>
      </c>
      <c r="J51" s="1" t="s">
        <v>20</v>
      </c>
      <c r="K51" s="1" t="s">
        <v>20</v>
      </c>
      <c r="L51" s="1" t="s">
        <v>20</v>
      </c>
      <c r="M51" s="1" t="s">
        <v>20</v>
      </c>
      <c r="N51" s="1" t="s">
        <v>20</v>
      </c>
      <c r="O51" s="1" t="s">
        <v>20</v>
      </c>
      <c r="P51" s="1" t="s">
        <v>20</v>
      </c>
      <c r="Q51" s="1" t="s">
        <v>20</v>
      </c>
    </row>
    <row r="52" spans="1:17" x14ac:dyDescent="0.25">
      <c r="A52" s="1" t="s">
        <v>20</v>
      </c>
      <c r="B52" s="2" t="s">
        <v>20</v>
      </c>
      <c r="C52" s="2" t="s">
        <v>20</v>
      </c>
      <c r="D52" s="1" t="s">
        <v>20</v>
      </c>
      <c r="E52" s="1" t="s">
        <v>20</v>
      </c>
      <c r="F52" s="1" t="s">
        <v>93</v>
      </c>
      <c r="G52" s="1" t="s">
        <v>20</v>
      </c>
      <c r="H52" s="1" t="s">
        <v>94</v>
      </c>
      <c r="I52" s="1" t="s">
        <v>20</v>
      </c>
      <c r="J52" s="1" t="s">
        <v>20</v>
      </c>
      <c r="K52" s="1" t="s">
        <v>20</v>
      </c>
      <c r="L52" s="1" t="s">
        <v>20</v>
      </c>
      <c r="M52" s="1" t="s">
        <v>20</v>
      </c>
      <c r="N52" s="1" t="s">
        <v>20</v>
      </c>
      <c r="O52" s="1" t="s">
        <v>20</v>
      </c>
      <c r="P52" s="1" t="s">
        <v>20</v>
      </c>
      <c r="Q52" s="1" t="s">
        <v>20</v>
      </c>
    </row>
    <row r="53" spans="1:17" x14ac:dyDescent="0.25">
      <c r="A53" s="1" t="s">
        <v>20</v>
      </c>
      <c r="B53" s="2" t="s">
        <v>20</v>
      </c>
      <c r="C53" s="2" t="s">
        <v>20</v>
      </c>
      <c r="D53" s="1" t="s">
        <v>20</v>
      </c>
      <c r="E53" s="1" t="s">
        <v>20</v>
      </c>
      <c r="F53" s="1" t="s">
        <v>95</v>
      </c>
      <c r="G53" s="1" t="s">
        <v>20</v>
      </c>
      <c r="H53" s="1" t="s">
        <v>94</v>
      </c>
      <c r="I53" s="1" t="s">
        <v>20</v>
      </c>
      <c r="J53" s="1" t="s">
        <v>20</v>
      </c>
      <c r="K53" s="1" t="s">
        <v>20</v>
      </c>
      <c r="L53" s="1" t="s">
        <v>20</v>
      </c>
      <c r="M53" s="1" t="s">
        <v>20</v>
      </c>
      <c r="N53" s="1" t="s">
        <v>20</v>
      </c>
      <c r="O53" s="1" t="s">
        <v>20</v>
      </c>
      <c r="P53" s="1" t="s">
        <v>20</v>
      </c>
      <c r="Q53" s="1" t="s">
        <v>20</v>
      </c>
    </row>
    <row r="54" spans="1:17" x14ac:dyDescent="0.25">
      <c r="A54" s="1" t="s">
        <v>20</v>
      </c>
      <c r="B54" s="2" t="s">
        <v>20</v>
      </c>
      <c r="C54" s="2" t="s">
        <v>20</v>
      </c>
      <c r="D54" s="1" t="s">
        <v>20</v>
      </c>
      <c r="E54" s="1" t="s">
        <v>20</v>
      </c>
      <c r="F54" s="1" t="s">
        <v>96</v>
      </c>
      <c r="G54" s="1" t="s">
        <v>20</v>
      </c>
      <c r="H54" s="1" t="s">
        <v>94</v>
      </c>
      <c r="I54" s="1" t="s">
        <v>20</v>
      </c>
      <c r="J54" s="1" t="s">
        <v>20</v>
      </c>
      <c r="K54" s="1" t="s">
        <v>20</v>
      </c>
      <c r="L54" s="1" t="s">
        <v>20</v>
      </c>
      <c r="M54" s="1" t="s">
        <v>20</v>
      </c>
      <c r="N54" s="1" t="s">
        <v>20</v>
      </c>
      <c r="O54" s="1" t="s">
        <v>20</v>
      </c>
      <c r="P54" s="1" t="s">
        <v>20</v>
      </c>
      <c r="Q54" s="1" t="s">
        <v>20</v>
      </c>
    </row>
    <row r="55" spans="1:17" x14ac:dyDescent="0.25">
      <c r="A55" s="1" t="s">
        <v>20</v>
      </c>
      <c r="B55" s="2" t="s">
        <v>20</v>
      </c>
      <c r="C55" s="2" t="s">
        <v>20</v>
      </c>
      <c r="D55" s="1" t="s">
        <v>20</v>
      </c>
      <c r="E55" s="1" t="s">
        <v>20</v>
      </c>
      <c r="F55" s="1" t="s">
        <v>97</v>
      </c>
      <c r="G55" s="1" t="s">
        <v>20</v>
      </c>
      <c r="H55" s="1" t="s">
        <v>94</v>
      </c>
      <c r="I55" s="1" t="s">
        <v>20</v>
      </c>
      <c r="J55" s="1" t="s">
        <v>20</v>
      </c>
      <c r="K55" s="1" t="s">
        <v>20</v>
      </c>
      <c r="L55" s="1" t="s">
        <v>20</v>
      </c>
      <c r="M55" s="1" t="s">
        <v>20</v>
      </c>
      <c r="N55" s="1" t="s">
        <v>20</v>
      </c>
      <c r="O55" s="1" t="s">
        <v>20</v>
      </c>
      <c r="P55" s="1" t="s">
        <v>20</v>
      </c>
      <c r="Q55" s="1" t="s">
        <v>20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Project_Проект intern.demoshopp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2026-03-19T08:39:12Z</dcterms:created>
  <dcterms:modified xsi:type="dcterms:W3CDTF">2026-05-10T00:09:59Z</dcterms:modified>
</cp:coreProperties>
</file>